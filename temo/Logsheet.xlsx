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7851c26e727eeb5b/Documents/GFacture/AI vendors/First 20 datasets/"/>
    </mc:Choice>
  </mc:AlternateContent>
  <xr:revisionPtr revIDLastSave="268" documentId="11_F25DC773A252ABDACC1048BDC11F63425BDE58E3" xr6:coauthVersionLast="47" xr6:coauthVersionMax="47" xr10:uidLastSave="{C0FA1E31-81BD-4426-9AB2-7015A7F2AF32}"/>
  <bookViews>
    <workbookView xWindow="-110" yWindow="-110" windowWidth="25180" windowHeight="16140" activeTab="1" xr2:uid="{00000000-000D-0000-FFFF-FFFF00000000}"/>
  </bookViews>
  <sheets>
    <sheet name="Reciepe" sheetId="3" r:id="rId1"/>
    <sheet name="9-17-2024,150, tank 5t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G5" i="2" s="1"/>
  <c r="G6" i="2" l="1"/>
  <c r="G7" i="2" s="1"/>
  <c r="G8" i="2" s="1"/>
  <c r="G10" i="2" s="1"/>
  <c r="G11" i="2" l="1"/>
  <c r="G12" i="2" s="1"/>
  <c r="G15" i="2" l="1"/>
  <c r="G16" i="2" s="1"/>
  <c r="G17" i="2" s="1"/>
  <c r="G18" i="2" s="1"/>
</calcChain>
</file>

<file path=xl/sharedStrings.xml><?xml version="1.0" encoding="utf-8"?>
<sst xmlns="http://schemas.openxmlformats.org/spreadsheetml/2006/main" count="60" uniqueCount="49">
  <si>
    <t>Date</t>
  </si>
  <si>
    <t>pH Preplate</t>
  </si>
  <si>
    <t>Pickle %HCL</t>
  </si>
  <si>
    <t>Notes</t>
  </si>
  <si>
    <t>Temperature, C</t>
  </si>
  <si>
    <t>Start of day sample</t>
  </si>
  <si>
    <t>chemical add</t>
  </si>
  <si>
    <t>filter cleaned and all filter pads changed to carbon filter pads</t>
  </si>
  <si>
    <t>Start of day analysis</t>
  </si>
  <si>
    <t>Start of day analytical</t>
  </si>
  <si>
    <t>Chemical add</t>
  </si>
  <si>
    <t>added 11.5 L of Liquid Nickel Sulfate</t>
  </si>
  <si>
    <t>3 gallons HCl was added to pickle</t>
  </si>
  <si>
    <t>Added 60 ml of wetter</t>
  </si>
  <si>
    <t>Surface Tension</t>
  </si>
  <si>
    <t>%HCl in pickle was low. It should be around 30%. HCl needs to be added to pickle.</t>
  </si>
  <si>
    <t>Cracked deposit. Based on the AA analysis, there is chrome contamination.</t>
  </si>
  <si>
    <t>Coating thickness, um</t>
  </si>
  <si>
    <t>Time, min</t>
  </si>
  <si>
    <t>Composition</t>
  </si>
  <si>
    <t>Hydrocloric acid%</t>
  </si>
  <si>
    <t>Total Bath Ampxhour after plating part in line</t>
  </si>
  <si>
    <t>Boric acid, g/L</t>
  </si>
  <si>
    <t>Nickel Sulfamate Tetrahydrate, g/L</t>
  </si>
  <si>
    <t>Nickel Cloride Hexahydrate, g/L</t>
  </si>
  <si>
    <t>Sodium lauryl sulfate (SLS), g/L</t>
  </si>
  <si>
    <t>Pickle tank</t>
  </si>
  <si>
    <t>Nickel Sulfamate tank</t>
  </si>
  <si>
    <t>Current, Amp</t>
  </si>
  <si>
    <t>Part name/task explanation</t>
  </si>
  <si>
    <t>125407 roll</t>
  </si>
  <si>
    <t>125408 roll</t>
  </si>
  <si>
    <t>125409 roll</t>
  </si>
  <si>
    <t>125410 roll</t>
  </si>
  <si>
    <t>125411 roll</t>
  </si>
  <si>
    <t>125412 roll</t>
  </si>
  <si>
    <t>125413 roll</t>
  </si>
  <si>
    <t>125414 roll</t>
  </si>
  <si>
    <t>125415 roll</t>
  </si>
  <si>
    <t>125416 roll</t>
  </si>
  <si>
    <t>Surface tension was high, it should be less than 45. Sodium lauryl sulfate (SLS) needs to be added</t>
  </si>
  <si>
    <t>Titration results</t>
  </si>
  <si>
    <t>Acceptable range of parameters</t>
  </si>
  <si>
    <t>%HCl</t>
  </si>
  <si>
    <t>12 to 17</t>
  </si>
  <si>
    <t>16 to 20</t>
  </si>
  <si>
    <t>40 to 45</t>
  </si>
  <si>
    <t>560 to 580</t>
  </si>
  <si>
    <t>25 to 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</si>
</sst>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sz val="11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16" fontId="0" fillId="0" borderId="0" xfId="0" applyNumberFormat="1"/>
    <xf numFmtId="164" fontId="0" fillId="0" borderId="0" xfId="0" applyNumberFormat="1" applyAlignment="1">
      <alignment horizontal="center"/>
    </xf>
    <xf numFmtId="16" fontId="0" fillId="2" borderId="0" xfId="0" applyNumberFormat="1" applyFill="1"/>
    <xf numFmtId="0" fontId="0" fillId="2" borderId="0" xfId="0" applyFill="1"/>
    <xf numFmtId="164" fontId="0" fillId="2" borderId="0" xfId="0" applyNumberForma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1" fillId="0" borderId="0" xfId="0" applyFont="1"/>
    <xf numFmtId="16" fontId="5" fillId="0" borderId="0" xfId="0" applyNumberFormat="1" applyFont="1"/>
    <xf numFmtId="0" fontId="5" fillId="0" borderId="0" xfId="0" applyFont="1"/>
    <xf numFmtId="164" fontId="5" fillId="0" borderId="0" xfId="0" applyNumberFormat="1" applyFont="1" applyAlignment="1">
      <alignment horizontal="center"/>
    </xf>
    <xf numFmtId="164" fontId="5" fillId="0" borderId="0" xfId="0" applyNumberFormat="1" applyFont="1"/>
    <xf numFmtId="9" fontId="3" fillId="0" borderId="0" xfId="0" applyNumberFormat="1" applyFont="1"/>
    <xf numFmtId="0" fontId="6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1F9C-3ABE-4ADC-99D5-13203A25C523}">
  <dimension ref="A1:E9"/>
  <sheetViews>
    <sheetView workbookViewId="0">
      <selection activeCell="B8" sqref="B8:D9"/>
    </sheetView>
  </sheetViews>
  <sheetFormatPr defaultRowHeight="14.5" x14ac:dyDescent="0.35"/>
  <cols>
    <col min="1" max="1" width="22.36328125" bestFit="1" customWidth="1"/>
    <col min="2" max="2" width="32.26953125" bestFit="1" customWidth="1"/>
    <col min="3" max="3" width="22.90625" bestFit="1" customWidth="1"/>
    <col min="4" max="5" width="27" bestFit="1" customWidth="1"/>
    <col min="6" max="6" width="22.90625" bestFit="1" customWidth="1"/>
  </cols>
  <sheetData>
    <row r="1" spans="1:5" x14ac:dyDescent="0.35">
      <c r="A1" s="12" t="s">
        <v>26</v>
      </c>
    </row>
    <row r="2" spans="1:5" x14ac:dyDescent="0.35">
      <c r="B2" t="s">
        <v>19</v>
      </c>
    </row>
    <row r="3" spans="1:5" x14ac:dyDescent="0.35">
      <c r="A3" t="s">
        <v>18</v>
      </c>
      <c r="B3" t="s">
        <v>20</v>
      </c>
    </row>
    <row r="4" spans="1:5" x14ac:dyDescent="0.35">
      <c r="A4">
        <v>5</v>
      </c>
      <c r="B4">
        <v>30</v>
      </c>
    </row>
    <row r="6" spans="1:5" x14ac:dyDescent="0.35">
      <c r="A6" s="12" t="s">
        <v>27</v>
      </c>
    </row>
    <row r="7" spans="1:5" x14ac:dyDescent="0.35">
      <c r="B7" t="s">
        <v>19</v>
      </c>
    </row>
    <row r="8" spans="1:5" ht="15.5" x14ac:dyDescent="0.35">
      <c r="A8" t="s">
        <v>4</v>
      </c>
      <c r="B8" s="11" t="s">
        <v>23</v>
      </c>
      <c r="C8" t="s">
        <v>22</v>
      </c>
      <c r="D8" t="s">
        <v>24</v>
      </c>
      <c r="E8" t="s">
        <v>25</v>
      </c>
    </row>
    <row r="9" spans="1:5" x14ac:dyDescent="0.35">
      <c r="A9">
        <v>60</v>
      </c>
      <c r="B9">
        <v>580</v>
      </c>
      <c r="C9">
        <v>18</v>
      </c>
      <c r="D9">
        <v>15</v>
      </c>
      <c r="E9">
        <v>0.37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50389-F332-4F46-B968-7C64F9024EC2}">
  <dimension ref="A1:N27"/>
  <sheetViews>
    <sheetView tabSelected="1" workbookViewId="0">
      <pane ySplit="2" topLeftCell="A3" activePane="bottomLeft" state="frozen"/>
      <selection pane="bottomLeft" activeCell="F34" sqref="F34"/>
    </sheetView>
  </sheetViews>
  <sheetFormatPr defaultRowHeight="14.5" x14ac:dyDescent="0.35"/>
  <cols>
    <col min="1" max="1" width="32.81640625" bestFit="1" customWidth="1"/>
    <col min="2" max="2" width="31.6328125" customWidth="1"/>
    <col min="3" max="3" width="27.26953125" bestFit="1" customWidth="1"/>
    <col min="4" max="4" width="14.26953125" bestFit="1" customWidth="1"/>
    <col min="5" max="5" width="14.08984375" bestFit="1" customWidth="1"/>
    <col min="6" max="6" width="19.36328125" bestFit="1" customWidth="1"/>
    <col min="7" max="7" width="19.26953125" customWidth="1"/>
    <col min="8" max="8" width="11.7265625" bestFit="1" customWidth="1"/>
    <col min="9" max="9" width="16" bestFit="1" customWidth="1"/>
    <col min="10" max="10" width="9.26953125" customWidth="1"/>
    <col min="11" max="11" width="32.26953125" bestFit="1" customWidth="1"/>
    <col min="12" max="12" width="12.26953125" bestFit="1" customWidth="1"/>
    <col min="13" max="13" width="27" bestFit="1" customWidth="1"/>
    <col min="14" max="14" width="196.7265625" bestFit="1" customWidth="1"/>
  </cols>
  <sheetData>
    <row r="1" spans="1:14" ht="17.5" x14ac:dyDescent="0.35">
      <c r="A1" s="1"/>
      <c r="K1" s="12" t="s">
        <v>41</v>
      </c>
    </row>
    <row r="2" spans="1:14" ht="43.5" x14ac:dyDescent="0.35">
      <c r="A2" t="s">
        <v>0</v>
      </c>
      <c r="B2" s="2" t="s">
        <v>29</v>
      </c>
      <c r="C2" s="2" t="s">
        <v>4</v>
      </c>
      <c r="D2" s="2" t="s">
        <v>28</v>
      </c>
      <c r="E2" s="2" t="s">
        <v>18</v>
      </c>
      <c r="F2" s="2" t="s">
        <v>17</v>
      </c>
      <c r="G2" s="3" t="s">
        <v>21</v>
      </c>
      <c r="H2" s="2" t="s">
        <v>1</v>
      </c>
      <c r="I2" s="2" t="s">
        <v>14</v>
      </c>
      <c r="J2" s="3" t="s">
        <v>2</v>
      </c>
      <c r="K2" s="18" t="s">
        <v>23</v>
      </c>
      <c r="L2" s="12" t="s">
        <v>22</v>
      </c>
      <c r="M2" s="12" t="s">
        <v>24</v>
      </c>
      <c r="N2" s="4" t="s">
        <v>3</v>
      </c>
    </row>
    <row r="3" spans="1:14" s="8" customFormat="1" x14ac:dyDescent="0.35">
      <c r="A3" s="7">
        <v>45611</v>
      </c>
      <c r="B3" s="8" t="s">
        <v>6</v>
      </c>
      <c r="C3" s="8">
        <v>70</v>
      </c>
      <c r="D3" s="8">
        <v>9</v>
      </c>
      <c r="G3" s="9">
        <v>274.5</v>
      </c>
      <c r="N3" s="8" t="s">
        <v>11</v>
      </c>
    </row>
    <row r="4" spans="1:14" x14ac:dyDescent="0.35">
      <c r="A4" s="5">
        <v>45611</v>
      </c>
      <c r="B4" t="s">
        <v>30</v>
      </c>
      <c r="C4">
        <v>70</v>
      </c>
      <c r="D4">
        <v>9</v>
      </c>
      <c r="E4">
        <v>80</v>
      </c>
      <c r="F4">
        <v>35</v>
      </c>
      <c r="G4" s="6">
        <f>G3+D4*E4/60</f>
        <v>286.5</v>
      </c>
      <c r="H4">
        <v>4</v>
      </c>
      <c r="J4">
        <v>30</v>
      </c>
      <c r="K4">
        <v>575</v>
      </c>
      <c r="L4">
        <v>19</v>
      </c>
      <c r="M4">
        <v>14</v>
      </c>
    </row>
    <row r="5" spans="1:14" s="14" customFormat="1" x14ac:dyDescent="0.35">
      <c r="A5" s="13">
        <v>45614</v>
      </c>
      <c r="B5" s="14" t="s">
        <v>5</v>
      </c>
      <c r="C5" s="14">
        <v>70</v>
      </c>
      <c r="G5" s="15">
        <f>G4+D5*E5/60</f>
        <v>286.5</v>
      </c>
      <c r="H5" s="14">
        <v>4.0999999999999996</v>
      </c>
      <c r="I5" s="16"/>
      <c r="J5" s="14">
        <v>30</v>
      </c>
      <c r="K5" s="14">
        <v>570</v>
      </c>
      <c r="L5" s="14">
        <v>17</v>
      </c>
      <c r="M5" s="14">
        <v>14</v>
      </c>
      <c r="N5" s="14" t="s">
        <v>7</v>
      </c>
    </row>
    <row r="6" spans="1:14" x14ac:dyDescent="0.35">
      <c r="A6" s="5">
        <v>45614</v>
      </c>
      <c r="B6" t="s">
        <v>31</v>
      </c>
      <c r="C6">
        <v>70</v>
      </c>
      <c r="D6">
        <v>9</v>
      </c>
      <c r="E6">
        <v>80</v>
      </c>
      <c r="F6">
        <v>35</v>
      </c>
      <c r="G6" s="6">
        <f>G5+D6*E6/60</f>
        <v>298.5</v>
      </c>
      <c r="H6">
        <v>4</v>
      </c>
    </row>
    <row r="7" spans="1:14" x14ac:dyDescent="0.35">
      <c r="A7" s="5">
        <v>45614</v>
      </c>
      <c r="B7" t="s">
        <v>32</v>
      </c>
      <c r="C7">
        <v>70</v>
      </c>
      <c r="D7">
        <v>9</v>
      </c>
      <c r="E7">
        <v>80</v>
      </c>
      <c r="F7">
        <v>35</v>
      </c>
      <c r="G7" s="6">
        <f>G6+D7*E7/60</f>
        <v>310.5</v>
      </c>
      <c r="H7">
        <v>4.2</v>
      </c>
    </row>
    <row r="8" spans="1:14" s="14" customFormat="1" x14ac:dyDescent="0.35">
      <c r="A8" s="13">
        <v>45615</v>
      </c>
      <c r="B8" s="14" t="s">
        <v>8</v>
      </c>
      <c r="G8" s="15">
        <f>G7+D8*E8/60</f>
        <v>310.5</v>
      </c>
      <c r="I8" s="10">
        <v>48.8</v>
      </c>
      <c r="J8" s="14">
        <v>28</v>
      </c>
      <c r="K8" s="14">
        <v>575</v>
      </c>
      <c r="L8" s="14">
        <v>17</v>
      </c>
      <c r="M8" s="14">
        <v>13</v>
      </c>
      <c r="N8" s="14" t="s">
        <v>40</v>
      </c>
    </row>
    <row r="9" spans="1:14" s="8" customFormat="1" x14ac:dyDescent="0.35">
      <c r="A9" s="7">
        <v>45615</v>
      </c>
      <c r="B9" s="8" t="s">
        <v>10</v>
      </c>
      <c r="G9" s="9"/>
      <c r="N9" s="8" t="s">
        <v>13</v>
      </c>
    </row>
    <row r="10" spans="1:14" x14ac:dyDescent="0.35">
      <c r="A10" s="5">
        <v>45615</v>
      </c>
      <c r="B10" t="s">
        <v>33</v>
      </c>
      <c r="C10">
        <v>70</v>
      </c>
      <c r="D10">
        <v>9</v>
      </c>
      <c r="E10">
        <v>80</v>
      </c>
      <c r="F10">
        <v>35</v>
      </c>
      <c r="G10" s="6">
        <f>G8+D10*E10/60</f>
        <v>322.5</v>
      </c>
      <c r="H10">
        <v>4.5</v>
      </c>
    </row>
    <row r="11" spans="1:14" x14ac:dyDescent="0.35">
      <c r="A11" s="5">
        <v>45615</v>
      </c>
      <c r="B11" t="s">
        <v>34</v>
      </c>
      <c r="C11">
        <v>70</v>
      </c>
      <c r="D11">
        <v>9</v>
      </c>
      <c r="E11">
        <v>80</v>
      </c>
      <c r="F11">
        <v>35</v>
      </c>
      <c r="G11" s="6">
        <f>G10+D11*E11/60</f>
        <v>334.5</v>
      </c>
      <c r="H11">
        <v>4</v>
      </c>
    </row>
    <row r="12" spans="1:14" x14ac:dyDescent="0.35">
      <c r="A12" s="5">
        <v>45615</v>
      </c>
      <c r="B12" t="s">
        <v>35</v>
      </c>
      <c r="C12">
        <v>70</v>
      </c>
      <c r="D12">
        <v>9</v>
      </c>
      <c r="E12">
        <v>80</v>
      </c>
      <c r="F12">
        <v>35</v>
      </c>
      <c r="G12" s="6">
        <f>G11+D12*E12/60</f>
        <v>346.5</v>
      </c>
      <c r="H12">
        <v>4</v>
      </c>
    </row>
    <row r="13" spans="1:14" s="14" customFormat="1" x14ac:dyDescent="0.35">
      <c r="A13" s="13">
        <v>45616</v>
      </c>
      <c r="B13" s="14" t="s">
        <v>9</v>
      </c>
      <c r="I13" s="16">
        <v>44</v>
      </c>
      <c r="J13" s="17">
        <v>0.25</v>
      </c>
      <c r="K13" s="14">
        <v>575</v>
      </c>
      <c r="L13" s="14">
        <v>17</v>
      </c>
      <c r="M13" s="14">
        <v>13</v>
      </c>
      <c r="N13" s="14" t="s">
        <v>15</v>
      </c>
    </row>
    <row r="14" spans="1:14" s="8" customFormat="1" x14ac:dyDescent="0.35">
      <c r="A14" s="7">
        <v>45616</v>
      </c>
      <c r="B14" s="8" t="s">
        <v>10</v>
      </c>
      <c r="N14" s="8" t="s">
        <v>12</v>
      </c>
    </row>
    <row r="15" spans="1:14" x14ac:dyDescent="0.35">
      <c r="A15" s="5">
        <v>45616</v>
      </c>
      <c r="B15" t="s">
        <v>36</v>
      </c>
      <c r="C15">
        <v>70</v>
      </c>
      <c r="D15">
        <v>9</v>
      </c>
      <c r="E15">
        <v>80</v>
      </c>
      <c r="F15">
        <v>35</v>
      </c>
      <c r="G15" s="6">
        <f>G12+D15*E15/60</f>
        <v>358.5</v>
      </c>
      <c r="H15">
        <v>4</v>
      </c>
    </row>
    <row r="16" spans="1:14" ht="19.5" customHeight="1" x14ac:dyDescent="0.35">
      <c r="A16" s="5">
        <v>45616</v>
      </c>
      <c r="B16" t="s">
        <v>37</v>
      </c>
      <c r="C16">
        <v>70</v>
      </c>
      <c r="D16">
        <v>9</v>
      </c>
      <c r="E16">
        <v>80</v>
      </c>
      <c r="F16">
        <v>35</v>
      </c>
      <c r="G16" s="6">
        <f>G15+D16*E16/60</f>
        <v>370.5</v>
      </c>
      <c r="H16">
        <v>4</v>
      </c>
    </row>
    <row r="17" spans="1:14" x14ac:dyDescent="0.35">
      <c r="A17" s="5">
        <v>45616</v>
      </c>
      <c r="B17" t="s">
        <v>38</v>
      </c>
      <c r="C17">
        <v>70</v>
      </c>
      <c r="D17">
        <v>9</v>
      </c>
      <c r="E17">
        <v>80</v>
      </c>
      <c r="F17">
        <v>35</v>
      </c>
      <c r="G17" s="6">
        <f>G16+D17*E17/60</f>
        <v>382.5</v>
      </c>
      <c r="H17">
        <v>4</v>
      </c>
    </row>
    <row r="18" spans="1:14" x14ac:dyDescent="0.35">
      <c r="A18" s="5">
        <v>45616</v>
      </c>
      <c r="B18" t="s">
        <v>39</v>
      </c>
      <c r="C18">
        <v>70</v>
      </c>
      <c r="D18">
        <v>9</v>
      </c>
      <c r="E18">
        <v>80</v>
      </c>
      <c r="F18">
        <v>35</v>
      </c>
      <c r="G18" s="6">
        <f>G17+D18*E18/60</f>
        <v>394.5</v>
      </c>
      <c r="H18">
        <v>4</v>
      </c>
      <c r="N18" s="10" t="s">
        <v>16</v>
      </c>
    </row>
    <row r="19" spans="1:14" x14ac:dyDescent="0.35">
      <c r="A19" s="5"/>
    </row>
    <row r="22" spans="1:14" ht="15.5" x14ac:dyDescent="0.35">
      <c r="E22" s="11"/>
    </row>
    <row r="25" spans="1:14" x14ac:dyDescent="0.35">
      <c r="A25" s="12" t="s">
        <v>42</v>
      </c>
    </row>
    <row r="26" spans="1:14" ht="15.5" x14ac:dyDescent="0.35">
      <c r="A26" s="18" t="s">
        <v>23</v>
      </c>
      <c r="B26" s="12" t="s">
        <v>22</v>
      </c>
      <c r="C26" s="12" t="s">
        <v>24</v>
      </c>
      <c r="D26" s="12" t="s">
        <v>43</v>
      </c>
      <c r="E26" s="2" t="s">
        <v>14</v>
      </c>
    </row>
    <row r="27" spans="1:14" x14ac:dyDescent="0.35">
      <c r="A27" t="s">
        <v>47</v>
      </c>
      <c r="B27" t="s">
        <v>45</v>
      </c>
      <c r="C27" s="19" t="s">
        <v>44</v>
      </c>
      <c r="D27" s="19" t="s">
        <v>48</v>
      </c>
      <c r="E27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Reciepe</vt:lpstr>
      <vt:lpstr>9-17-2024,150, tank 5th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Amy Haghdoost</cp:lastModifiedBy>
  <dcterms:created xsi:type="dcterms:W3CDTF">2015-06-05T18:17:20Z</dcterms:created>
  <dcterms:modified xsi:type="dcterms:W3CDTF">2025-10-30T22:09:51Z</dcterms:modified>
</cp:coreProperties>
</file>